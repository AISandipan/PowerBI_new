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0E1857B-A368-4484-B20E-7CBF3A68E397}" xr6:coauthVersionLast="47" xr6:coauthVersionMax="47" xr10:uidLastSave="{00000000-0000-0000-0000-000000000000}"/>
  <bookViews>
    <workbookView xWindow="-120" yWindow="-120" windowWidth="25440" windowHeight="15270" activeTab="1" xr2:uid="{914F5980-28CC-45CA-829A-BEDC3E3276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2" l="1"/>
  <c r="P30" i="2"/>
  <c r="N30" i="2"/>
  <c r="O30" i="2" s="1"/>
  <c r="M30" i="2"/>
  <c r="Q29" i="2"/>
  <c r="P29" i="2"/>
  <c r="M29" i="2"/>
  <c r="N29" i="2" s="1"/>
  <c r="O29" i="2" s="1"/>
  <c r="Q28" i="2"/>
  <c r="P28" i="2"/>
  <c r="M28" i="2"/>
  <c r="N28" i="2" s="1"/>
  <c r="O28" i="2" s="1"/>
  <c r="Q27" i="2"/>
  <c r="P27" i="2"/>
  <c r="M27" i="2"/>
  <c r="N27" i="2" s="1"/>
  <c r="O27" i="2" s="1"/>
  <c r="Q26" i="2"/>
  <c r="P26" i="2"/>
  <c r="N26" i="2"/>
  <c r="O26" i="2" s="1"/>
  <c r="M26" i="2"/>
  <c r="Q25" i="2"/>
  <c r="P25" i="2"/>
  <c r="M25" i="2"/>
  <c r="N25" i="2" s="1"/>
  <c r="O25" i="2" s="1"/>
  <c r="Q24" i="2"/>
  <c r="P24" i="2"/>
  <c r="N24" i="2"/>
  <c r="O24" i="2" s="1"/>
  <c r="M24" i="2"/>
  <c r="Q23" i="2"/>
  <c r="P23" i="2"/>
  <c r="M23" i="2"/>
  <c r="N23" i="2" s="1"/>
  <c r="O23" i="2" s="1"/>
  <c r="Q22" i="2"/>
  <c r="P22" i="2"/>
  <c r="M22" i="2"/>
  <c r="N22" i="2" s="1"/>
  <c r="O22" i="2" s="1"/>
  <c r="Q21" i="2"/>
  <c r="P21" i="2"/>
  <c r="M21" i="2"/>
  <c r="N21" i="2" s="1"/>
  <c r="O21" i="2" s="1"/>
  <c r="Q20" i="2"/>
  <c r="P20" i="2"/>
  <c r="N20" i="2"/>
  <c r="O20" i="2" s="1"/>
  <c r="M20" i="2"/>
  <c r="Q19" i="2"/>
  <c r="P19" i="2"/>
  <c r="M19" i="2"/>
  <c r="N19" i="2" s="1"/>
  <c r="O19" i="2" s="1"/>
  <c r="Q18" i="2"/>
  <c r="P18" i="2"/>
  <c r="N18" i="2"/>
  <c r="O18" i="2" s="1"/>
  <c r="M18" i="2"/>
  <c r="Q17" i="2"/>
  <c r="P17" i="2"/>
  <c r="M17" i="2"/>
  <c r="N17" i="2" s="1"/>
  <c r="O17" i="2" s="1"/>
  <c r="Q16" i="2"/>
  <c r="P16" i="2"/>
  <c r="M16" i="2"/>
  <c r="N16" i="2" s="1"/>
  <c r="O16" i="2" s="1"/>
  <c r="Q15" i="2"/>
  <c r="P15" i="2"/>
  <c r="O15" i="2"/>
  <c r="N15" i="2"/>
  <c r="M15" i="2"/>
  <c r="Q14" i="2"/>
  <c r="P14" i="2"/>
  <c r="N14" i="2"/>
  <c r="O14" i="2" s="1"/>
  <c r="M14" i="2"/>
  <c r="Q13" i="2"/>
  <c r="P13" i="2"/>
  <c r="M13" i="2"/>
  <c r="N13" i="2" s="1"/>
  <c r="O13" i="2" s="1"/>
  <c r="Q12" i="2"/>
  <c r="P12" i="2"/>
  <c r="N12" i="2"/>
  <c r="O12" i="2" s="1"/>
  <c r="M12" i="2"/>
  <c r="Q11" i="2"/>
  <c r="P11" i="2"/>
  <c r="M11" i="2"/>
  <c r="N11" i="2" s="1"/>
  <c r="O11" i="2" s="1"/>
  <c r="Q10" i="2"/>
  <c r="P10" i="2"/>
  <c r="M10" i="2"/>
  <c r="N10" i="2" s="1"/>
  <c r="O10" i="2" s="1"/>
  <c r="Q9" i="2"/>
  <c r="P9" i="2"/>
  <c r="M9" i="2"/>
  <c r="N9" i="2" s="1"/>
  <c r="O9" i="2" s="1"/>
  <c r="Q8" i="2"/>
  <c r="P8" i="2"/>
  <c r="N8" i="2"/>
  <c r="O8" i="2" s="1"/>
  <c r="M8" i="2"/>
  <c r="Q7" i="2"/>
  <c r="P7" i="2"/>
  <c r="M7" i="2"/>
  <c r="N7" i="2" s="1"/>
  <c r="O7" i="2" s="1"/>
  <c r="Q6" i="2"/>
  <c r="P6" i="2"/>
  <c r="N6" i="2"/>
  <c r="O6" i="2" s="1"/>
  <c r="M6" i="2"/>
  <c r="Q5" i="2"/>
  <c r="P5" i="2"/>
  <c r="M5" i="2"/>
  <c r="N5" i="2" s="1"/>
  <c r="O5" i="2" s="1"/>
  <c r="Q4" i="2"/>
  <c r="P4" i="2"/>
  <c r="M4" i="2"/>
  <c r="N4" i="2" s="1"/>
  <c r="O4" i="2" s="1"/>
  <c r="Q3" i="2"/>
  <c r="P3" i="2"/>
  <c r="M3" i="2"/>
  <c r="N3" i="2" s="1"/>
  <c r="O3" i="2" s="1"/>
  <c r="Q2" i="2"/>
  <c r="P2" i="2"/>
  <c r="N2" i="2"/>
  <c r="O2" i="2" s="1"/>
  <c r="M2" i="2"/>
</calcChain>
</file>

<file path=xl/sharedStrings.xml><?xml version="1.0" encoding="utf-8"?>
<sst xmlns="http://schemas.openxmlformats.org/spreadsheetml/2006/main" count="256" uniqueCount="155">
  <si>
    <t>Category</t>
  </si>
  <si>
    <t>Product</t>
  </si>
  <si>
    <t>Sales</t>
  </si>
  <si>
    <t>Dis%</t>
  </si>
  <si>
    <t>Clothing</t>
  </si>
  <si>
    <t>BikeRacks</t>
  </si>
  <si>
    <t>Accessories</t>
  </si>
  <si>
    <t>Bib-Shorts</t>
  </si>
  <si>
    <t>Bikes</t>
  </si>
  <si>
    <t>Locks</t>
  </si>
  <si>
    <t>Electronics</t>
  </si>
  <si>
    <t>Server</t>
  </si>
  <si>
    <t>CiscoRack</t>
  </si>
  <si>
    <t>Jerseys</t>
  </si>
  <si>
    <t>Bottom Brackets</t>
  </si>
  <si>
    <t>Brakes</t>
  </si>
  <si>
    <t>Components</t>
  </si>
  <si>
    <t>Handlebars</t>
  </si>
  <si>
    <t>Discounted_Price</t>
  </si>
  <si>
    <t>Price After Discount</t>
  </si>
  <si>
    <t>DisCount_BikeRacks</t>
  </si>
  <si>
    <t>Product ID</t>
  </si>
  <si>
    <t>Product Name</t>
  </si>
  <si>
    <t>Product Price</t>
  </si>
  <si>
    <t>Units</t>
  </si>
  <si>
    <t>TAX</t>
  </si>
  <si>
    <t>Shipping Area</t>
  </si>
  <si>
    <t>Shipping Cost</t>
  </si>
  <si>
    <t>CATID</t>
  </si>
  <si>
    <t>Original Price</t>
  </si>
  <si>
    <t>Rev_dis%</t>
  </si>
  <si>
    <t>Rev_Price</t>
  </si>
  <si>
    <t>CustomerName</t>
  </si>
  <si>
    <t>MEA7879</t>
  </si>
  <si>
    <t>Measuring cups</t>
  </si>
  <si>
    <t>DXB</t>
  </si>
  <si>
    <t>C001</t>
  </si>
  <si>
    <t>Alex</t>
  </si>
  <si>
    <t>LAD7890</t>
  </si>
  <si>
    <t>Ladle</t>
  </si>
  <si>
    <t>ABD</t>
  </si>
  <si>
    <t>C002</t>
  </si>
  <si>
    <t>John</t>
  </si>
  <si>
    <t>SLO7881</t>
  </si>
  <si>
    <t>Slotted spoon</t>
  </si>
  <si>
    <t>SHJ</t>
  </si>
  <si>
    <t>C003</t>
  </si>
  <si>
    <t>Lights</t>
  </si>
  <si>
    <t>Petri</t>
  </si>
  <si>
    <t>COP7882</t>
  </si>
  <si>
    <t>12" copper skillet</t>
  </si>
  <si>
    <t>AIL</t>
  </si>
  <si>
    <t>C004</t>
  </si>
  <si>
    <t>Pekka</t>
  </si>
  <si>
    <t>GAR7883</t>
  </si>
  <si>
    <t>Garlic press</t>
  </si>
  <si>
    <t>CA</t>
  </si>
  <si>
    <t>C005</t>
  </si>
  <si>
    <t>CAN7884</t>
  </si>
  <si>
    <t>Can opener</t>
  </si>
  <si>
    <t>TY</t>
  </si>
  <si>
    <t>C006</t>
  </si>
  <si>
    <t>Mountain Bikes</t>
  </si>
  <si>
    <t>Jick</t>
  </si>
  <si>
    <t>FOI7885</t>
  </si>
  <si>
    <t>Foil wrap</t>
  </si>
  <si>
    <t>KU</t>
  </si>
  <si>
    <t>C007</t>
  </si>
  <si>
    <t>Jenny</t>
  </si>
  <si>
    <t>COL7886</t>
  </si>
  <si>
    <t>Colander1</t>
  </si>
  <si>
    <t>HY</t>
  </si>
  <si>
    <t>C008</t>
  </si>
  <si>
    <t>Hja</t>
  </si>
  <si>
    <t>MES7887</t>
  </si>
  <si>
    <t>Mesh sieve</t>
  </si>
  <si>
    <t>NY</t>
  </si>
  <si>
    <t>C009</t>
  </si>
  <si>
    <t>Gloves</t>
  </si>
  <si>
    <t>Hanna</t>
  </si>
  <si>
    <t>CHE7888</t>
  </si>
  <si>
    <t>Cheesecloth</t>
  </si>
  <si>
    <t>UK</t>
  </si>
  <si>
    <t>C010</t>
  </si>
  <si>
    <t>Hania</t>
  </si>
  <si>
    <t>COP7889</t>
  </si>
  <si>
    <t>9" copper pot</t>
  </si>
  <si>
    <t>MN</t>
  </si>
  <si>
    <t>C011</t>
  </si>
  <si>
    <t>Eben</t>
  </si>
  <si>
    <t>RAM7890</t>
  </si>
  <si>
    <t>Ramekin</t>
  </si>
  <si>
    <t>DX</t>
  </si>
  <si>
    <t>C012</t>
  </si>
  <si>
    <t>Glen</t>
  </si>
  <si>
    <t>RAM7892</t>
  </si>
  <si>
    <t>Afdert</t>
  </si>
  <si>
    <t>AL</t>
  </si>
  <si>
    <t>C013</t>
  </si>
  <si>
    <t>Lasse</t>
  </si>
  <si>
    <t>RAM2003</t>
  </si>
  <si>
    <t>ServerScrew</t>
  </si>
  <si>
    <t>UKM</t>
  </si>
  <si>
    <t>C014</t>
  </si>
  <si>
    <t>CAT6001</t>
  </si>
  <si>
    <t>CatCableF40</t>
  </si>
  <si>
    <t>DMM</t>
  </si>
  <si>
    <t>C015</t>
  </si>
  <si>
    <t>TF4005</t>
  </si>
  <si>
    <t>TFTSMonitor</t>
  </si>
  <si>
    <t>MSQ</t>
  </si>
  <si>
    <t>C016</t>
  </si>
  <si>
    <t>GHC66554</t>
  </si>
  <si>
    <t>Oil Spray</t>
  </si>
  <si>
    <t>YYZ</t>
  </si>
  <si>
    <t>C017</t>
  </si>
  <si>
    <t>BTL9001</t>
  </si>
  <si>
    <t>Bottle Opener</t>
  </si>
  <si>
    <t>C018</t>
  </si>
  <si>
    <t>PTS5602</t>
  </si>
  <si>
    <t>Pasta Server</t>
  </si>
  <si>
    <t>C019</t>
  </si>
  <si>
    <t>FRP3403</t>
  </si>
  <si>
    <t>Frying Pan</t>
  </si>
  <si>
    <t>C020</t>
  </si>
  <si>
    <t>MTB4504</t>
  </si>
  <si>
    <t>Mountain Helmet</t>
  </si>
  <si>
    <t>C021</t>
  </si>
  <si>
    <t>Helmets</t>
  </si>
  <si>
    <t>JKT8705</t>
  </si>
  <si>
    <t>Cycling Jacket</t>
  </si>
  <si>
    <t>C022</t>
  </si>
  <si>
    <t>Jackets</t>
  </si>
  <si>
    <t>SPN9012</t>
  </si>
  <si>
    <t>Spatula Set</t>
  </si>
  <si>
    <t>C023</t>
  </si>
  <si>
    <t>MTB3107</t>
  </si>
  <si>
    <t>Tire Pump</t>
  </si>
  <si>
    <t>C024</t>
  </si>
  <si>
    <t>GLS1120</t>
  </si>
  <si>
    <t>Oven Gloves</t>
  </si>
  <si>
    <t>C025</t>
  </si>
  <si>
    <t>BLN3345</t>
  </si>
  <si>
    <t>Blender Bottle</t>
  </si>
  <si>
    <t>C026</t>
  </si>
  <si>
    <t>Handlebar Grips</t>
  </si>
  <si>
    <t>OIL7771</t>
  </si>
  <si>
    <t>Olive Oil Spray</t>
  </si>
  <si>
    <t>C027</t>
  </si>
  <si>
    <t>MXR8820</t>
  </si>
  <si>
    <t>Mixer Grinder</t>
  </si>
  <si>
    <t>C028</t>
  </si>
  <si>
    <t>BSK2211</t>
  </si>
  <si>
    <t>Bread Basket Set</t>
  </si>
  <si>
    <t>C029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</si>
</sst>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_-* #,##0_-;\-* #,##0_-;_-* &quot;-&quot;??_-;_-@_-"/>
    <numFmt numFmtId="166" formatCode="_-[$AED-4C09]* #,##0.00_-;\-[$AED-4C09]* #,##0.00_-;_-[$AED-4C09]* &quot;-&quot;??_-;_-@_-"/>
    <numFmt numFmtId="167" formatCode="_([$AED]\ * #,##0.00_);_([$AED]\ * \(#,##0.00\);_([$AED]\ 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FF"/>
      <name val="Segoe UI"/>
      <family val="2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b/>
      <sz val="10"/>
      <color theme="1"/>
      <name val="Times New Roman"/>
      <family val="1"/>
    </font>
    <font>
      <sz val="11"/>
      <name val="Segoe U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/>
        <bgColor theme="8"/>
      </patternFill>
    </fill>
    <fill>
      <patternFill patternType="solid">
        <fgColor rgb="FFCFCFD3"/>
        <bgColor indexed="64"/>
      </patternFill>
    </fill>
  </fills>
  <borders count="18">
    <border>
      <left/>
      <right/>
      <top/>
      <bottom/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medium">
        <color theme="9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theme="9" tint="0.39997558519241921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indexed="64"/>
      </right>
      <top style="thick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  <xf numFmtId="43" fontId="1" fillId="0" borderId="0" applyFont="0" applyFill="0" applyBorder="0" applyAlignment="0" applyProtection="0"/>
    <xf numFmtId="0" fontId="8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164" fontId="2" fillId="3" borderId="3" xfId="3" applyNumberFormat="1" applyFont="1" applyBorder="1" applyAlignment="1">
      <alignment horizontal="center"/>
    </xf>
    <xf numFmtId="0" fontId="3" fillId="5" borderId="4" xfId="3" applyFont="1" applyFill="1" applyBorder="1"/>
    <xf numFmtId="0" fontId="3" fillId="5" borderId="5" xfId="3" applyFont="1" applyFill="1" applyBorder="1"/>
    <xf numFmtId="44" fontId="3" fillId="5" borderId="5" xfId="1" applyFont="1" applyFill="1" applyBorder="1"/>
    <xf numFmtId="9" fontId="6" fillId="0" borderId="0" xfId="2" applyFont="1"/>
    <xf numFmtId="0" fontId="3" fillId="0" borderId="4" xfId="3" applyFont="1" applyFill="1" applyBorder="1"/>
    <xf numFmtId="0" fontId="3" fillId="0" borderId="5" xfId="3" applyFont="1" applyFill="1" applyBorder="1"/>
    <xf numFmtId="44" fontId="3" fillId="0" borderId="5" xfId="1" applyFont="1" applyBorder="1"/>
    <xf numFmtId="9" fontId="6" fillId="0" borderId="0" xfId="0" applyNumberFormat="1" applyFont="1"/>
    <xf numFmtId="0" fontId="3" fillId="5" borderId="5" xfId="0" applyFont="1" applyFill="1" applyBorder="1"/>
    <xf numFmtId="44" fontId="0" fillId="5" borderId="5" xfId="1" applyFont="1" applyFill="1" applyBorder="1"/>
    <xf numFmtId="0" fontId="3" fillId="0" borderId="5" xfId="0" applyFont="1" applyBorder="1"/>
    <xf numFmtId="44" fontId="0" fillId="0" borderId="5" xfId="1" applyFont="1" applyBorder="1"/>
    <xf numFmtId="0" fontId="7" fillId="5" borderId="4" xfId="0" applyFont="1" applyFill="1" applyBorder="1"/>
    <xf numFmtId="0" fontId="7" fillId="0" borderId="4" xfId="0" applyFont="1" applyBorder="1"/>
    <xf numFmtId="0" fontId="7" fillId="0" borderId="6" xfId="0" applyFont="1" applyBorder="1"/>
    <xf numFmtId="0" fontId="3" fillId="0" borderId="7" xfId="0" applyFont="1" applyBorder="1"/>
    <xf numFmtId="44" fontId="0" fillId="0" borderId="7" xfId="1" applyFont="1" applyBorder="1"/>
    <xf numFmtId="164" fontId="2" fillId="3" borderId="3" xfId="3" applyNumberFormat="1" applyFont="1" applyBorder="1" applyAlignment="1">
      <alignment horizontal="right"/>
    </xf>
    <xf numFmtId="0" fontId="9" fillId="9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2" fillId="3" borderId="11" xfId="3" applyFont="1" applyBorder="1" applyAlignment="1">
      <alignment horizontal="center"/>
    </xf>
    <xf numFmtId="0" fontId="2" fillId="3" borderId="12" xfId="3" applyFont="1" applyBorder="1" applyAlignment="1">
      <alignment horizontal="center"/>
    </xf>
    <xf numFmtId="0" fontId="8" fillId="6" borderId="0" xfId="5" applyBorder="1"/>
    <xf numFmtId="0" fontId="10" fillId="0" borderId="0" xfId="0" applyFont="1"/>
    <xf numFmtId="44" fontId="10" fillId="0" borderId="0" xfId="1" applyFont="1"/>
    <xf numFmtId="9" fontId="10" fillId="0" borderId="0" xfId="0" applyNumberFormat="1" applyFont="1"/>
    <xf numFmtId="9" fontId="11" fillId="10" borderId="13" xfId="2" applyFont="1" applyFill="1" applyBorder="1" applyAlignment="1">
      <alignment horizontal="center" vertical="center"/>
    </xf>
    <xf numFmtId="0" fontId="3" fillId="0" borderId="11" xfId="3" applyFont="1" applyFill="1" applyBorder="1"/>
    <xf numFmtId="0" fontId="3" fillId="0" borderId="12" xfId="3" applyFont="1" applyFill="1" applyBorder="1"/>
    <xf numFmtId="166" fontId="3" fillId="0" borderId="3" xfId="3" applyNumberFormat="1" applyFont="1" applyFill="1" applyBorder="1"/>
    <xf numFmtId="44" fontId="12" fillId="0" borderId="0" xfId="0" applyNumberFormat="1" applyFont="1"/>
    <xf numFmtId="44" fontId="10" fillId="0" borderId="0" xfId="0" applyNumberFormat="1" applyFont="1"/>
    <xf numFmtId="167" fontId="10" fillId="0" borderId="0" xfId="2" applyNumberFormat="1" applyFont="1"/>
    <xf numFmtId="9" fontId="10" fillId="0" borderId="0" xfId="2" applyFont="1"/>
    <xf numFmtId="166" fontId="0" fillId="0" borderId="0" xfId="0" applyNumberFormat="1"/>
    <xf numFmtId="9" fontId="11" fillId="10" borderId="14" xfId="2" applyFont="1" applyFill="1" applyBorder="1" applyAlignment="1">
      <alignment horizontal="center" vertical="center"/>
    </xf>
    <xf numFmtId="0" fontId="3" fillId="0" borderId="12" xfId="0" applyFont="1" applyBorder="1"/>
    <xf numFmtId="166" fontId="1" fillId="0" borderId="3" xfId="4" applyNumberFormat="1" applyFont="1" applyFill="1" applyBorder="1"/>
    <xf numFmtId="166" fontId="1" fillId="0" borderId="3" xfId="6" applyNumberFormat="1" applyFont="1" applyFill="1" applyBorder="1"/>
    <xf numFmtId="0" fontId="7" fillId="0" borderId="11" xfId="0" applyFont="1" applyBorder="1"/>
    <xf numFmtId="166" fontId="1" fillId="0" borderId="3" xfId="7" applyNumberFormat="1" applyFont="1" applyFill="1" applyBorder="1"/>
    <xf numFmtId="0" fontId="7" fillId="0" borderId="15" xfId="0" applyFont="1" applyBorder="1"/>
    <xf numFmtId="0" fontId="3" fillId="0" borderId="16" xfId="0" applyFont="1" applyBorder="1"/>
    <xf numFmtId="44" fontId="0" fillId="0" borderId="0" xfId="1" applyFont="1"/>
    <xf numFmtId="9" fontId="0" fillId="0" borderId="0" xfId="0" applyNumberFormat="1"/>
    <xf numFmtId="0" fontId="7" fillId="0" borderId="0" xfId="0" applyFont="1"/>
    <xf numFmtId="0" fontId="3" fillId="0" borderId="0" xfId="3" applyFont="1" applyFill="1" applyBorder="1"/>
    <xf numFmtId="166" fontId="1" fillId="0" borderId="17" xfId="4" applyNumberFormat="1" applyFont="1" applyFill="1" applyBorder="1"/>
    <xf numFmtId="0" fontId="13" fillId="0" borderId="0" xfId="0" applyFont="1" applyAlignment="1">
      <alignment vertical="center" wrapText="1"/>
    </xf>
    <xf numFmtId="44" fontId="13" fillId="0" borderId="0" xfId="1" applyFont="1" applyAlignment="1">
      <alignment vertical="center" wrapText="1"/>
    </xf>
    <xf numFmtId="9" fontId="13" fillId="0" borderId="0" xfId="0" applyNumberFormat="1" applyFont="1" applyAlignment="1">
      <alignment vertical="center" wrapText="1"/>
    </xf>
  </cellXfs>
  <cellStyles count="8">
    <cellStyle name="Accent1" xfId="3" builtinId="29"/>
    <cellStyle name="Accent4" xfId="6" builtinId="41"/>
    <cellStyle name="Accent5" xfId="7" builtinId="45"/>
    <cellStyle name="Comma" xfId="4" builtinId="3"/>
    <cellStyle name="Currency" xfId="1" builtinId="4"/>
    <cellStyle name="Good" xfId="5" builtinId="26"/>
    <cellStyle name="Normal" xfId="0" builtinId="0"/>
    <cellStyle name="Percent" xfId="2" builtinId="5"/>
  </cellStyles>
  <dxfs count="14">
    <dxf>
      <fill>
        <gradientFill degree="90">
          <stop position="0">
            <color theme="7" tint="0.59999389629810485"/>
          </stop>
          <stop position="1">
            <color theme="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strike/>
        <color theme="0" tint="-0.34998626667073579"/>
      </font>
    </dxf>
    <dxf>
      <font>
        <color theme="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2BD6-705D-402C-B50C-B47795E7A1FD}">
  <dimension ref="B2:H16"/>
  <sheetViews>
    <sheetView workbookViewId="0">
      <selection activeCell="G9" sqref="G9"/>
    </sheetView>
  </sheetViews>
  <sheetFormatPr defaultColWidth="19.7109375" defaultRowHeight="15" x14ac:dyDescent="0.25"/>
  <cols>
    <col min="1" max="16384" width="19.7109375" style="1"/>
  </cols>
  <sheetData>
    <row r="2" spans="2:8" ht="15.75" thickBot="1" x14ac:dyDescent="0.3">
      <c r="B2" s="2" t="s">
        <v>0</v>
      </c>
      <c r="C2" s="3" t="s">
        <v>1</v>
      </c>
      <c r="D2" s="4" t="s">
        <v>2</v>
      </c>
      <c r="E2" s="5" t="s">
        <v>3</v>
      </c>
      <c r="F2" s="5" t="s">
        <v>18</v>
      </c>
      <c r="G2" s="23" t="s">
        <v>19</v>
      </c>
      <c r="H2" s="23" t="s">
        <v>20</v>
      </c>
    </row>
    <row r="3" spans="2:8" ht="16.5" x14ac:dyDescent="0.3">
      <c r="B3" s="6" t="s">
        <v>4</v>
      </c>
      <c r="C3" s="7" t="s">
        <v>5</v>
      </c>
      <c r="D3" s="8">
        <v>93000</v>
      </c>
      <c r="E3" s="9">
        <v>0.12</v>
      </c>
    </row>
    <row r="4" spans="2:8" ht="16.5" x14ac:dyDescent="0.3">
      <c r="B4" s="10" t="s">
        <v>6</v>
      </c>
      <c r="C4" s="11" t="s">
        <v>5</v>
      </c>
      <c r="D4" s="12">
        <v>36400</v>
      </c>
      <c r="E4" s="13">
        <v>0.04</v>
      </c>
    </row>
    <row r="5" spans="2:8" ht="16.5" x14ac:dyDescent="0.3">
      <c r="B5" s="6" t="s">
        <v>6</v>
      </c>
      <c r="C5" s="7" t="s">
        <v>7</v>
      </c>
      <c r="D5" s="8">
        <v>36700</v>
      </c>
      <c r="E5" s="9">
        <v>0.05</v>
      </c>
    </row>
    <row r="6" spans="2:8" ht="16.5" x14ac:dyDescent="0.3">
      <c r="B6" s="10" t="s">
        <v>8</v>
      </c>
      <c r="C6" s="11" t="s">
        <v>5</v>
      </c>
      <c r="D6" s="12">
        <v>35000</v>
      </c>
      <c r="E6" s="13">
        <v>0.06</v>
      </c>
    </row>
    <row r="7" spans="2:8" ht="16.5" x14ac:dyDescent="0.3">
      <c r="B7" s="6" t="s">
        <v>8</v>
      </c>
      <c r="C7" s="7" t="s">
        <v>9</v>
      </c>
      <c r="D7" s="8">
        <v>13000</v>
      </c>
      <c r="E7" s="9">
        <v>7.0000000000000007E-2</v>
      </c>
    </row>
    <row r="8" spans="2:8" ht="16.5" x14ac:dyDescent="0.3">
      <c r="B8" s="10" t="s">
        <v>10</v>
      </c>
      <c r="C8" s="11" t="s">
        <v>11</v>
      </c>
      <c r="D8" s="12">
        <v>8500</v>
      </c>
      <c r="E8" s="13">
        <v>0.08</v>
      </c>
    </row>
    <row r="9" spans="2:8" ht="16.5" x14ac:dyDescent="0.3">
      <c r="B9" s="6" t="s">
        <v>10</v>
      </c>
      <c r="C9" s="14" t="s">
        <v>12</v>
      </c>
      <c r="D9" s="15">
        <v>10200</v>
      </c>
      <c r="E9" s="9">
        <v>0.09</v>
      </c>
    </row>
    <row r="10" spans="2:8" ht="16.5" x14ac:dyDescent="0.3">
      <c r="B10" s="10" t="s">
        <v>4</v>
      </c>
      <c r="C10" s="16" t="s">
        <v>7</v>
      </c>
      <c r="D10" s="17">
        <v>23600</v>
      </c>
      <c r="E10" s="13">
        <v>0.1</v>
      </c>
    </row>
    <row r="11" spans="2:8" ht="16.5" x14ac:dyDescent="0.3">
      <c r="B11" s="18" t="s">
        <v>4</v>
      </c>
      <c r="C11" s="14" t="s">
        <v>5</v>
      </c>
      <c r="D11" s="15">
        <v>90700</v>
      </c>
      <c r="E11" s="9">
        <v>0.11</v>
      </c>
    </row>
    <row r="12" spans="2:8" ht="16.5" x14ac:dyDescent="0.3">
      <c r="B12" s="19" t="s">
        <v>4</v>
      </c>
      <c r="C12" s="16" t="s">
        <v>13</v>
      </c>
      <c r="D12" s="17">
        <v>7500</v>
      </c>
      <c r="E12" s="13">
        <v>0.12</v>
      </c>
    </row>
    <row r="13" spans="2:8" ht="16.5" x14ac:dyDescent="0.3">
      <c r="B13" s="18" t="s">
        <v>6</v>
      </c>
      <c r="C13" s="14" t="s">
        <v>14</v>
      </c>
      <c r="D13" s="15">
        <v>17500</v>
      </c>
      <c r="E13" s="9">
        <v>0.13</v>
      </c>
    </row>
    <row r="14" spans="2:8" ht="16.5" x14ac:dyDescent="0.3">
      <c r="B14" s="19" t="s">
        <v>6</v>
      </c>
      <c r="C14" s="16" t="s">
        <v>15</v>
      </c>
      <c r="D14" s="17">
        <v>8500</v>
      </c>
      <c r="E14" s="13">
        <v>0.14000000000000001</v>
      </c>
    </row>
    <row r="15" spans="2:8" ht="16.5" x14ac:dyDescent="0.3">
      <c r="B15" s="18" t="s">
        <v>16</v>
      </c>
      <c r="C15" s="14" t="s">
        <v>15</v>
      </c>
      <c r="D15" s="15">
        <v>56000</v>
      </c>
      <c r="E15" s="9">
        <v>0.15</v>
      </c>
    </row>
    <row r="16" spans="2:8" ht="16.5" x14ac:dyDescent="0.3">
      <c r="B16" s="20" t="s">
        <v>16</v>
      </c>
      <c r="C16" s="21" t="s">
        <v>17</v>
      </c>
      <c r="D16" s="22">
        <v>8100</v>
      </c>
      <c r="E16" s="13">
        <v>0.16</v>
      </c>
    </row>
  </sheetData>
  <conditionalFormatting sqref="C3:C16">
    <cfRule type="cellIs" dxfId="13" priority="4" operator="equal">
      <formula>"BikeRacks"</formula>
    </cfRule>
  </conditionalFormatting>
  <conditionalFormatting sqref="D3:D16">
    <cfRule type="top10" dxfId="12" priority="1" rank="3"/>
    <cfRule type="iconSet" priority="2">
      <iconSet iconSet="3Arrows">
        <cfvo type="percent" val="0"/>
        <cfvo type="num" val="20000"/>
        <cfvo type="num" val="40000"/>
      </iconSet>
    </cfRule>
    <cfRule type="top10" dxfId="11" priority="3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0C06-4621-40AD-A6EC-6083FED3C589}">
  <dimension ref="A1:R30"/>
  <sheetViews>
    <sheetView tabSelected="1" workbookViewId="0">
      <selection sqref="A1:R30"/>
    </sheetView>
  </sheetViews>
  <sheetFormatPr defaultRowHeight="15" x14ac:dyDescent="0.25"/>
  <cols>
    <col min="1" max="18" width="18.7109375" customWidth="1"/>
  </cols>
  <sheetData>
    <row r="1" spans="1:18" ht="17.25" thickBot="1" x14ac:dyDescent="0.3">
      <c r="A1" s="24" t="s">
        <v>21</v>
      </c>
      <c r="B1" s="25" t="s">
        <v>22</v>
      </c>
      <c r="C1" s="26" t="s">
        <v>23</v>
      </c>
      <c r="D1" s="24" t="s">
        <v>24</v>
      </c>
      <c r="E1" s="24" t="s">
        <v>25</v>
      </c>
      <c r="F1" s="24" t="s">
        <v>26</v>
      </c>
      <c r="G1" s="24" t="s">
        <v>27</v>
      </c>
      <c r="H1" s="24" t="s">
        <v>28</v>
      </c>
      <c r="I1" s="27" t="s">
        <v>0</v>
      </c>
      <c r="J1" s="28" t="s">
        <v>1</v>
      </c>
      <c r="K1" s="5" t="s">
        <v>29</v>
      </c>
      <c r="L1" s="5" t="s">
        <v>3</v>
      </c>
      <c r="M1" s="5" t="s">
        <v>18</v>
      </c>
      <c r="N1" s="23" t="s">
        <v>19</v>
      </c>
      <c r="O1" s="23" t="s">
        <v>20</v>
      </c>
      <c r="P1" s="5" t="s">
        <v>30</v>
      </c>
      <c r="Q1" s="5" t="s">
        <v>31</v>
      </c>
      <c r="R1" s="24" t="s">
        <v>32</v>
      </c>
    </row>
    <row r="2" spans="1:18" ht="18" thickTop="1" thickBot="1" x14ac:dyDescent="0.35">
      <c r="A2" s="29" t="s">
        <v>33</v>
      </c>
      <c r="B2" s="30" t="s">
        <v>34</v>
      </c>
      <c r="C2" s="31">
        <v>4.99</v>
      </c>
      <c r="D2" s="30">
        <v>2</v>
      </c>
      <c r="E2" s="32">
        <v>0.05</v>
      </c>
      <c r="F2" s="30" t="s">
        <v>35</v>
      </c>
      <c r="G2" s="33">
        <v>0.23</v>
      </c>
      <c r="H2" s="30" t="s">
        <v>36</v>
      </c>
      <c r="I2" s="34" t="s">
        <v>6</v>
      </c>
      <c r="J2" s="35" t="s">
        <v>5</v>
      </c>
      <c r="K2" s="36">
        <v>64400</v>
      </c>
      <c r="L2" s="9">
        <v>0.12</v>
      </c>
      <c r="M2" s="37">
        <f>K2*L2</f>
        <v>7728</v>
      </c>
      <c r="N2" s="38">
        <f>K2-M2</f>
        <v>56672</v>
      </c>
      <c r="O2" s="39">
        <f>IF(J2="BikeRacks",(N2-N2*20%),N2)</f>
        <v>45337.599999999999</v>
      </c>
      <c r="P2" s="40">
        <f>IF(AND(I2="Bikes",J2="Locks"),15%,L2)</f>
        <v>0.12</v>
      </c>
      <c r="Q2" s="41">
        <f>IF(AND(I2="Bikes", J2="Locks"), (1 - 15%) * K2, K2)</f>
        <v>64400</v>
      </c>
      <c r="R2" s="30" t="s">
        <v>37</v>
      </c>
    </row>
    <row r="3" spans="1:18" ht="18" thickTop="1" thickBot="1" x14ac:dyDescent="0.35">
      <c r="A3" s="30" t="s">
        <v>38</v>
      </c>
      <c r="B3" s="30" t="s">
        <v>39</v>
      </c>
      <c r="C3" s="31">
        <v>7.25</v>
      </c>
      <c r="D3" s="30">
        <v>3</v>
      </c>
      <c r="E3" s="32">
        <v>0.02</v>
      </c>
      <c r="F3" s="30" t="s">
        <v>40</v>
      </c>
      <c r="G3" s="33">
        <v>0.24</v>
      </c>
      <c r="H3" s="30" t="s">
        <v>41</v>
      </c>
      <c r="I3" s="34" t="s">
        <v>6</v>
      </c>
      <c r="J3" s="35" t="s">
        <v>5</v>
      </c>
      <c r="K3" s="36">
        <v>36400</v>
      </c>
      <c r="L3" s="9">
        <v>0.04</v>
      </c>
      <c r="M3" s="37">
        <f t="shared" ref="M3:M30" si="0">K3*L3</f>
        <v>1456</v>
      </c>
      <c r="N3" s="38">
        <f t="shared" ref="N3:N30" si="1">K3-M3</f>
        <v>34944</v>
      </c>
      <c r="O3" s="39">
        <f t="shared" ref="O3:O29" si="2">IF(J3="BikeRacks",(N3-N3*20%),N3)</f>
        <v>27955.200000000001</v>
      </c>
      <c r="P3" s="40">
        <f t="shared" ref="P3:P30" si="3">IF(AND(I3="Bikes",J3="Locks"),15%,L3)</f>
        <v>0.04</v>
      </c>
      <c r="Q3" s="41">
        <f t="shared" ref="Q3:Q30" si="4">IF(AND(I3="Bikes", J3="Locks"), (1 - 15%) * K3, K3)</f>
        <v>36400</v>
      </c>
      <c r="R3" s="30" t="s">
        <v>42</v>
      </c>
    </row>
    <row r="4" spans="1:18" ht="18" thickTop="1" thickBot="1" x14ac:dyDescent="0.35">
      <c r="A4" s="30" t="s">
        <v>43</v>
      </c>
      <c r="B4" s="30" t="s">
        <v>44</v>
      </c>
      <c r="C4" s="31">
        <v>4.5</v>
      </c>
      <c r="D4" s="30">
        <v>4</v>
      </c>
      <c r="E4" s="32">
        <v>0.03</v>
      </c>
      <c r="F4" s="30" t="s">
        <v>45</v>
      </c>
      <c r="G4" s="33">
        <v>0.1</v>
      </c>
      <c r="H4" s="30" t="s">
        <v>46</v>
      </c>
      <c r="I4" s="34" t="s">
        <v>6</v>
      </c>
      <c r="J4" s="35" t="s">
        <v>47</v>
      </c>
      <c r="K4" s="36">
        <v>36700</v>
      </c>
      <c r="L4" s="9">
        <v>0.05</v>
      </c>
      <c r="M4" s="37">
        <f t="shared" si="0"/>
        <v>1835</v>
      </c>
      <c r="N4" s="38">
        <f t="shared" si="1"/>
        <v>34865</v>
      </c>
      <c r="O4" s="39">
        <f t="shared" si="2"/>
        <v>34865</v>
      </c>
      <c r="P4" s="40">
        <f t="shared" si="3"/>
        <v>0.05</v>
      </c>
      <c r="Q4" s="41">
        <f t="shared" si="4"/>
        <v>36700</v>
      </c>
      <c r="R4" s="30" t="s">
        <v>48</v>
      </c>
    </row>
    <row r="5" spans="1:18" ht="17.25" thickTop="1" x14ac:dyDescent="0.3">
      <c r="A5" s="30" t="s">
        <v>49</v>
      </c>
      <c r="B5" s="30" t="s">
        <v>50</v>
      </c>
      <c r="C5" s="31">
        <v>89.79</v>
      </c>
      <c r="D5" s="30">
        <v>5</v>
      </c>
      <c r="E5" s="32">
        <v>0.04</v>
      </c>
      <c r="F5" s="30" t="s">
        <v>51</v>
      </c>
      <c r="G5" s="33">
        <v>0.12</v>
      </c>
      <c r="H5" s="30" t="s">
        <v>52</v>
      </c>
      <c r="I5" s="34" t="s">
        <v>6</v>
      </c>
      <c r="J5" s="35" t="s">
        <v>9</v>
      </c>
      <c r="K5" s="36">
        <v>35000</v>
      </c>
      <c r="L5" s="9">
        <v>0.06</v>
      </c>
      <c r="M5" s="37">
        <f t="shared" si="0"/>
        <v>2100</v>
      </c>
      <c r="N5" s="38">
        <f t="shared" si="1"/>
        <v>32900</v>
      </c>
      <c r="O5" s="39">
        <f t="shared" si="2"/>
        <v>32900</v>
      </c>
      <c r="P5" s="40">
        <f t="shared" si="3"/>
        <v>0.06</v>
      </c>
      <c r="Q5" s="41">
        <f t="shared" si="4"/>
        <v>35000</v>
      </c>
      <c r="R5" s="30" t="s">
        <v>53</v>
      </c>
    </row>
    <row r="6" spans="1:18" ht="16.5" x14ac:dyDescent="0.3">
      <c r="A6" s="30" t="s">
        <v>54</v>
      </c>
      <c r="B6" s="30" t="s">
        <v>55</v>
      </c>
      <c r="C6" s="31">
        <v>3.99</v>
      </c>
      <c r="D6" s="30">
        <v>6</v>
      </c>
      <c r="E6" s="32">
        <v>0.05</v>
      </c>
      <c r="F6" s="30" t="s">
        <v>56</v>
      </c>
      <c r="G6" s="42">
        <v>0.04</v>
      </c>
      <c r="H6" s="30" t="s">
        <v>57</v>
      </c>
      <c r="I6" s="34" t="s">
        <v>8</v>
      </c>
      <c r="J6" s="35" t="s">
        <v>9</v>
      </c>
      <c r="K6" s="36">
        <v>13000</v>
      </c>
      <c r="L6" s="9">
        <v>7.0000000000000007E-2</v>
      </c>
      <c r="M6" s="37">
        <f t="shared" si="0"/>
        <v>910.00000000000011</v>
      </c>
      <c r="N6" s="38">
        <f t="shared" si="1"/>
        <v>12090</v>
      </c>
      <c r="O6" s="39">
        <f t="shared" si="2"/>
        <v>12090</v>
      </c>
      <c r="P6" s="40">
        <f t="shared" si="3"/>
        <v>0.15</v>
      </c>
      <c r="Q6" s="41">
        <f t="shared" si="4"/>
        <v>11050</v>
      </c>
      <c r="R6" s="30" t="s">
        <v>42</v>
      </c>
    </row>
    <row r="7" spans="1:18" ht="16.5" x14ac:dyDescent="0.3">
      <c r="A7" s="30" t="s">
        <v>58</v>
      </c>
      <c r="B7" s="30" t="s">
        <v>59</v>
      </c>
      <c r="C7" s="31">
        <v>78.900000000000006</v>
      </c>
      <c r="D7" s="30">
        <v>7</v>
      </c>
      <c r="E7" s="32">
        <v>0.06</v>
      </c>
      <c r="F7" s="30" t="s">
        <v>60</v>
      </c>
      <c r="G7" s="42">
        <v>0.05</v>
      </c>
      <c r="H7" s="30" t="s">
        <v>61</v>
      </c>
      <c r="I7" s="34" t="s">
        <v>8</v>
      </c>
      <c r="J7" s="35" t="s">
        <v>62</v>
      </c>
      <c r="K7" s="36">
        <v>8500</v>
      </c>
      <c r="L7" s="9">
        <v>0.08</v>
      </c>
      <c r="M7" s="37">
        <f t="shared" si="0"/>
        <v>680</v>
      </c>
      <c r="N7" s="38">
        <f t="shared" si="1"/>
        <v>7820</v>
      </c>
      <c r="O7" s="39">
        <f t="shared" si="2"/>
        <v>7820</v>
      </c>
      <c r="P7" s="40">
        <f t="shared" si="3"/>
        <v>0.08</v>
      </c>
      <c r="Q7" s="41">
        <f t="shared" si="4"/>
        <v>8500</v>
      </c>
      <c r="R7" s="30" t="s">
        <v>63</v>
      </c>
    </row>
    <row r="8" spans="1:18" ht="16.5" x14ac:dyDescent="0.3">
      <c r="A8" s="30" t="s">
        <v>64</v>
      </c>
      <c r="B8" s="30" t="s">
        <v>65</v>
      </c>
      <c r="C8" s="31">
        <v>7.87</v>
      </c>
      <c r="D8" s="30">
        <v>8</v>
      </c>
      <c r="E8" s="32">
        <v>7.0000000000000007E-2</v>
      </c>
      <c r="F8" s="30" t="s">
        <v>66</v>
      </c>
      <c r="G8" s="42">
        <v>0.06</v>
      </c>
      <c r="H8" s="30" t="s">
        <v>67</v>
      </c>
      <c r="I8" s="34" t="s">
        <v>8</v>
      </c>
      <c r="J8" s="43" t="s">
        <v>7</v>
      </c>
      <c r="K8" s="44">
        <v>29000</v>
      </c>
      <c r="L8" s="9">
        <v>0.09</v>
      </c>
      <c r="M8" s="37">
        <f t="shared" si="0"/>
        <v>2610</v>
      </c>
      <c r="N8" s="38">
        <f t="shared" si="1"/>
        <v>26390</v>
      </c>
      <c r="O8" s="39">
        <f t="shared" si="2"/>
        <v>26390</v>
      </c>
      <c r="P8" s="40">
        <f t="shared" si="3"/>
        <v>0.09</v>
      </c>
      <c r="Q8" s="41">
        <f t="shared" si="4"/>
        <v>29000</v>
      </c>
      <c r="R8" s="30" t="s">
        <v>68</v>
      </c>
    </row>
    <row r="9" spans="1:18" ht="16.5" x14ac:dyDescent="0.3">
      <c r="A9" s="30" t="s">
        <v>69</v>
      </c>
      <c r="B9" s="30" t="s">
        <v>70</v>
      </c>
      <c r="C9" s="31">
        <v>14.09</v>
      </c>
      <c r="D9" s="30">
        <v>9</v>
      </c>
      <c r="E9" s="32">
        <v>0.08</v>
      </c>
      <c r="F9" s="30" t="s">
        <v>71</v>
      </c>
      <c r="G9" s="42">
        <v>7.0000000000000007E-2</v>
      </c>
      <c r="H9" s="30" t="s">
        <v>72</v>
      </c>
      <c r="I9" s="34" t="s">
        <v>8</v>
      </c>
      <c r="J9" s="43" t="s">
        <v>7</v>
      </c>
      <c r="K9" s="45">
        <v>23600</v>
      </c>
      <c r="L9" s="9">
        <v>0.1</v>
      </c>
      <c r="M9" s="37">
        <f t="shared" si="0"/>
        <v>2360</v>
      </c>
      <c r="N9" s="38">
        <f t="shared" si="1"/>
        <v>21240</v>
      </c>
      <c r="O9" s="39">
        <f t="shared" si="2"/>
        <v>21240</v>
      </c>
      <c r="P9" s="40">
        <f t="shared" si="3"/>
        <v>0.1</v>
      </c>
      <c r="Q9" s="41">
        <f t="shared" si="4"/>
        <v>23600</v>
      </c>
      <c r="R9" s="30" t="s">
        <v>73</v>
      </c>
    </row>
    <row r="10" spans="1:18" ht="16.5" x14ac:dyDescent="0.3">
      <c r="A10" s="30" t="s">
        <v>74</v>
      </c>
      <c r="B10" s="30" t="s">
        <v>75</v>
      </c>
      <c r="C10" s="31">
        <v>90.89</v>
      </c>
      <c r="D10" s="30">
        <v>10</v>
      </c>
      <c r="E10" s="32">
        <v>0.09</v>
      </c>
      <c r="F10" s="30" t="s">
        <v>76</v>
      </c>
      <c r="G10" s="42">
        <v>0.08</v>
      </c>
      <c r="H10" s="30" t="s">
        <v>77</v>
      </c>
      <c r="I10" s="46" t="s">
        <v>4</v>
      </c>
      <c r="J10" s="43" t="s">
        <v>78</v>
      </c>
      <c r="K10" s="47">
        <v>90700</v>
      </c>
      <c r="L10" s="9">
        <v>0.11</v>
      </c>
      <c r="M10" s="37">
        <f t="shared" si="0"/>
        <v>9977</v>
      </c>
      <c r="N10" s="38">
        <f t="shared" si="1"/>
        <v>80723</v>
      </c>
      <c r="O10" s="39">
        <f t="shared" si="2"/>
        <v>80723</v>
      </c>
      <c r="P10" s="40">
        <f t="shared" si="3"/>
        <v>0.11</v>
      </c>
      <c r="Q10" s="41">
        <f t="shared" si="4"/>
        <v>90700</v>
      </c>
      <c r="R10" s="30" t="s">
        <v>79</v>
      </c>
    </row>
    <row r="11" spans="1:18" ht="16.5" x14ac:dyDescent="0.3">
      <c r="A11" s="30" t="s">
        <v>80</v>
      </c>
      <c r="B11" s="30" t="s">
        <v>81</v>
      </c>
      <c r="C11" s="31">
        <v>2.89</v>
      </c>
      <c r="D11" s="30">
        <v>11</v>
      </c>
      <c r="E11" s="32">
        <v>0.1</v>
      </c>
      <c r="F11" s="30" t="s">
        <v>82</v>
      </c>
      <c r="G11" s="42">
        <v>0.09</v>
      </c>
      <c r="H11" s="30" t="s">
        <v>83</v>
      </c>
      <c r="I11" s="46" t="s">
        <v>4</v>
      </c>
      <c r="J11" s="43" t="s">
        <v>13</v>
      </c>
      <c r="K11" s="44">
        <v>7500</v>
      </c>
      <c r="L11" s="9">
        <v>0.12</v>
      </c>
      <c r="M11" s="37">
        <f t="shared" si="0"/>
        <v>900</v>
      </c>
      <c r="N11" s="38">
        <f t="shared" si="1"/>
        <v>6600</v>
      </c>
      <c r="O11" s="39">
        <f t="shared" si="2"/>
        <v>6600</v>
      </c>
      <c r="P11" s="40">
        <f t="shared" si="3"/>
        <v>0.12</v>
      </c>
      <c r="Q11" s="41">
        <f t="shared" si="4"/>
        <v>7500</v>
      </c>
      <c r="R11" s="30" t="s">
        <v>84</v>
      </c>
    </row>
    <row r="12" spans="1:18" ht="16.5" x14ac:dyDescent="0.3">
      <c r="A12" s="30" t="s">
        <v>85</v>
      </c>
      <c r="B12" s="30" t="s">
        <v>86</v>
      </c>
      <c r="C12" s="31">
        <v>55.59</v>
      </c>
      <c r="D12" s="30">
        <v>12</v>
      </c>
      <c r="E12" s="32">
        <v>0.11</v>
      </c>
      <c r="F12" s="30" t="s">
        <v>87</v>
      </c>
      <c r="G12" s="42">
        <v>0.1</v>
      </c>
      <c r="H12" s="30" t="s">
        <v>88</v>
      </c>
      <c r="I12" s="46" t="s">
        <v>16</v>
      </c>
      <c r="J12" s="43" t="s">
        <v>14</v>
      </c>
      <c r="K12" s="44">
        <v>17500</v>
      </c>
      <c r="L12" s="9">
        <v>0.13</v>
      </c>
      <c r="M12" s="37">
        <f t="shared" si="0"/>
        <v>2275</v>
      </c>
      <c r="N12" s="38">
        <f t="shared" si="1"/>
        <v>15225</v>
      </c>
      <c r="O12" s="39">
        <f t="shared" si="2"/>
        <v>15225</v>
      </c>
      <c r="P12" s="40">
        <f t="shared" si="3"/>
        <v>0.13</v>
      </c>
      <c r="Q12" s="41">
        <f t="shared" si="4"/>
        <v>17500</v>
      </c>
      <c r="R12" s="30" t="s">
        <v>89</v>
      </c>
    </row>
    <row r="13" spans="1:18" ht="16.5" x14ac:dyDescent="0.3">
      <c r="A13" s="30" t="s">
        <v>90</v>
      </c>
      <c r="B13" s="30" t="s">
        <v>91</v>
      </c>
      <c r="C13" s="31">
        <v>11.89</v>
      </c>
      <c r="D13" s="30">
        <v>13</v>
      </c>
      <c r="E13" s="32">
        <v>0.12</v>
      </c>
      <c r="F13" s="30" t="s">
        <v>92</v>
      </c>
      <c r="G13" s="42">
        <v>0.23</v>
      </c>
      <c r="H13" s="30" t="s">
        <v>93</v>
      </c>
      <c r="I13" s="46" t="s">
        <v>16</v>
      </c>
      <c r="J13" s="43" t="s">
        <v>5</v>
      </c>
      <c r="K13" s="44">
        <v>8500</v>
      </c>
      <c r="L13" s="9">
        <v>0.14000000000000001</v>
      </c>
      <c r="M13" s="37">
        <f t="shared" si="0"/>
        <v>1190</v>
      </c>
      <c r="N13" s="38">
        <f t="shared" si="1"/>
        <v>7310</v>
      </c>
      <c r="O13" s="39">
        <f t="shared" si="2"/>
        <v>5848</v>
      </c>
      <c r="P13" s="40">
        <f t="shared" si="3"/>
        <v>0.14000000000000001</v>
      </c>
      <c r="Q13" s="41">
        <f t="shared" si="4"/>
        <v>8500</v>
      </c>
      <c r="R13" s="30" t="s">
        <v>94</v>
      </c>
    </row>
    <row r="14" spans="1:18" ht="16.5" x14ac:dyDescent="0.3">
      <c r="A14" s="30" t="s">
        <v>95</v>
      </c>
      <c r="B14" s="30" t="s">
        <v>96</v>
      </c>
      <c r="C14" s="31">
        <v>31.89</v>
      </c>
      <c r="D14" s="30">
        <v>14</v>
      </c>
      <c r="E14" s="32">
        <v>0.13</v>
      </c>
      <c r="F14" s="30" t="s">
        <v>97</v>
      </c>
      <c r="G14" s="42">
        <v>0.24</v>
      </c>
      <c r="H14" s="30" t="s">
        <v>98</v>
      </c>
      <c r="I14" s="46" t="s">
        <v>16</v>
      </c>
      <c r="J14" s="43" t="s">
        <v>15</v>
      </c>
      <c r="K14" s="44">
        <v>56000</v>
      </c>
      <c r="L14" s="9">
        <v>0.06</v>
      </c>
      <c r="M14" s="37">
        <f t="shared" si="0"/>
        <v>3360</v>
      </c>
      <c r="N14" s="38">
        <f t="shared" si="1"/>
        <v>52640</v>
      </c>
      <c r="O14" s="39">
        <f t="shared" si="2"/>
        <v>52640</v>
      </c>
      <c r="P14" s="40">
        <f t="shared" si="3"/>
        <v>0.06</v>
      </c>
      <c r="Q14" s="41">
        <f t="shared" si="4"/>
        <v>56000</v>
      </c>
      <c r="R14" s="30" t="s">
        <v>99</v>
      </c>
    </row>
    <row r="15" spans="1:18" ht="16.5" x14ac:dyDescent="0.3">
      <c r="A15" s="30" t="s">
        <v>100</v>
      </c>
      <c r="B15" s="30" t="s">
        <v>101</v>
      </c>
      <c r="C15" s="31">
        <v>51.89</v>
      </c>
      <c r="D15" s="30">
        <v>15</v>
      </c>
      <c r="E15" s="32">
        <v>0.14000000000000001</v>
      </c>
      <c r="F15" s="30" t="s">
        <v>102</v>
      </c>
      <c r="G15" s="42">
        <v>0.25</v>
      </c>
      <c r="H15" s="30" t="s">
        <v>103</v>
      </c>
      <c r="I15" s="48" t="s">
        <v>16</v>
      </c>
      <c r="J15" s="49" t="s">
        <v>17</v>
      </c>
      <c r="K15" s="44">
        <v>56000</v>
      </c>
      <c r="L15" s="9">
        <v>0.16</v>
      </c>
      <c r="M15" s="37">
        <f t="shared" si="0"/>
        <v>8960</v>
      </c>
      <c r="N15" s="38">
        <f t="shared" si="1"/>
        <v>47040</v>
      </c>
      <c r="O15" s="39">
        <f t="shared" si="2"/>
        <v>47040</v>
      </c>
      <c r="P15" s="40">
        <f t="shared" si="3"/>
        <v>0.16</v>
      </c>
      <c r="Q15" s="41">
        <f t="shared" si="4"/>
        <v>56000</v>
      </c>
      <c r="R15" s="30" t="s">
        <v>73</v>
      </c>
    </row>
    <row r="16" spans="1:18" ht="16.5" x14ac:dyDescent="0.3">
      <c r="A16" s="30" t="s">
        <v>104</v>
      </c>
      <c r="B16" s="30" t="s">
        <v>105</v>
      </c>
      <c r="C16" s="31">
        <v>71.89</v>
      </c>
      <c r="D16" s="30">
        <v>16</v>
      </c>
      <c r="E16" s="32">
        <v>0.15</v>
      </c>
      <c r="F16" s="30" t="s">
        <v>106</v>
      </c>
      <c r="G16" s="42">
        <v>0.26</v>
      </c>
      <c r="H16" s="30" t="s">
        <v>107</v>
      </c>
      <c r="I16" s="30" t="s">
        <v>8</v>
      </c>
      <c r="J16" s="35" t="s">
        <v>9</v>
      </c>
      <c r="K16" s="44">
        <v>56000</v>
      </c>
      <c r="L16" s="9">
        <v>0.26</v>
      </c>
      <c r="M16" s="37">
        <f t="shared" si="0"/>
        <v>14560</v>
      </c>
      <c r="N16" s="38">
        <f t="shared" si="1"/>
        <v>41440</v>
      </c>
      <c r="O16" s="39">
        <f t="shared" si="2"/>
        <v>41440</v>
      </c>
      <c r="P16" s="40">
        <f t="shared" si="3"/>
        <v>0.15</v>
      </c>
      <c r="Q16" s="41">
        <f t="shared" si="4"/>
        <v>47600</v>
      </c>
      <c r="R16" s="30" t="s">
        <v>73</v>
      </c>
    </row>
    <row r="17" spans="1:18" ht="16.5" x14ac:dyDescent="0.3">
      <c r="A17" s="30" t="s">
        <v>108</v>
      </c>
      <c r="B17" s="30" t="s">
        <v>109</v>
      </c>
      <c r="C17" s="31">
        <v>91.89</v>
      </c>
      <c r="D17" s="30">
        <v>17</v>
      </c>
      <c r="E17" s="32">
        <v>0.16</v>
      </c>
      <c r="F17" s="30" t="s">
        <v>110</v>
      </c>
      <c r="G17" s="42">
        <v>0.27</v>
      </c>
      <c r="H17" s="30" t="s">
        <v>111</v>
      </c>
      <c r="I17" s="30" t="s">
        <v>8</v>
      </c>
      <c r="J17" s="35" t="s">
        <v>9</v>
      </c>
      <c r="K17" s="44">
        <v>56000</v>
      </c>
      <c r="L17" s="9">
        <v>0.36</v>
      </c>
      <c r="M17" s="37">
        <f t="shared" si="0"/>
        <v>20160</v>
      </c>
      <c r="N17" s="38">
        <f t="shared" si="1"/>
        <v>35840</v>
      </c>
      <c r="O17" s="39">
        <f t="shared" si="2"/>
        <v>35840</v>
      </c>
      <c r="P17" s="40">
        <f t="shared" si="3"/>
        <v>0.15</v>
      </c>
      <c r="Q17" s="41">
        <f t="shared" si="4"/>
        <v>47600</v>
      </c>
      <c r="R17" s="30" t="s">
        <v>79</v>
      </c>
    </row>
    <row r="18" spans="1:18" ht="16.5" x14ac:dyDescent="0.3">
      <c r="A18" s="30" t="s">
        <v>112</v>
      </c>
      <c r="B18" s="30" t="s">
        <v>113</v>
      </c>
      <c r="C18" s="50">
        <v>45.33</v>
      </c>
      <c r="D18" s="30">
        <v>25</v>
      </c>
      <c r="E18" s="51">
        <v>0.05</v>
      </c>
      <c r="F18" s="30" t="s">
        <v>114</v>
      </c>
      <c r="G18" s="42">
        <v>0.21</v>
      </c>
      <c r="H18" s="30" t="s">
        <v>115</v>
      </c>
      <c r="I18" s="52" t="s">
        <v>4</v>
      </c>
      <c r="J18" s="53" t="s">
        <v>78</v>
      </c>
      <c r="K18" s="54">
        <v>45000</v>
      </c>
      <c r="L18" s="9">
        <v>0.25</v>
      </c>
      <c r="M18" s="37">
        <f t="shared" si="0"/>
        <v>11250</v>
      </c>
      <c r="N18" s="38">
        <f t="shared" si="1"/>
        <v>33750</v>
      </c>
      <c r="O18" s="39">
        <f t="shared" si="2"/>
        <v>33750</v>
      </c>
      <c r="P18" s="40">
        <f t="shared" si="3"/>
        <v>0.25</v>
      </c>
      <c r="Q18" s="41">
        <f t="shared" si="4"/>
        <v>45000</v>
      </c>
      <c r="R18" s="30" t="s">
        <v>84</v>
      </c>
    </row>
    <row r="19" spans="1:18" ht="31.5" x14ac:dyDescent="0.3">
      <c r="A19" s="55" t="s">
        <v>116</v>
      </c>
      <c r="B19" s="55" t="s">
        <v>117</v>
      </c>
      <c r="C19" s="56">
        <v>3.75</v>
      </c>
      <c r="D19" s="55">
        <v>2</v>
      </c>
      <c r="E19" s="57">
        <v>0.02</v>
      </c>
      <c r="F19" s="55" t="s">
        <v>35</v>
      </c>
      <c r="G19" s="42">
        <v>0.1</v>
      </c>
      <c r="H19" s="55" t="s">
        <v>118</v>
      </c>
      <c r="I19" s="55" t="s">
        <v>6</v>
      </c>
      <c r="J19" s="55" t="s">
        <v>5</v>
      </c>
      <c r="K19" s="54">
        <v>51000</v>
      </c>
      <c r="L19" s="9">
        <v>0.2</v>
      </c>
      <c r="M19" s="37">
        <f t="shared" si="0"/>
        <v>10200</v>
      </c>
      <c r="N19" s="38">
        <f t="shared" si="1"/>
        <v>40800</v>
      </c>
      <c r="O19" s="39">
        <f t="shared" si="2"/>
        <v>32640</v>
      </c>
      <c r="P19" s="40">
        <f t="shared" si="3"/>
        <v>0.2</v>
      </c>
      <c r="Q19" s="41">
        <f t="shared" si="4"/>
        <v>51000</v>
      </c>
      <c r="R19" s="30" t="s">
        <v>89</v>
      </c>
    </row>
    <row r="20" spans="1:18" ht="31.5" x14ac:dyDescent="0.3">
      <c r="A20" s="55" t="s">
        <v>119</v>
      </c>
      <c r="B20" s="55" t="s">
        <v>120</v>
      </c>
      <c r="C20" s="56">
        <v>6.99</v>
      </c>
      <c r="D20" s="55">
        <v>5</v>
      </c>
      <c r="E20" s="57">
        <v>0.05</v>
      </c>
      <c r="F20" s="55" t="s">
        <v>45</v>
      </c>
      <c r="G20" s="42">
        <v>0.12</v>
      </c>
      <c r="H20" s="55" t="s">
        <v>121</v>
      </c>
      <c r="I20" s="55" t="s">
        <v>6</v>
      </c>
      <c r="J20" s="55" t="s">
        <v>9</v>
      </c>
      <c r="K20" s="54">
        <v>65000</v>
      </c>
      <c r="L20" s="9">
        <v>0.15</v>
      </c>
      <c r="M20" s="37">
        <f t="shared" si="0"/>
        <v>9750</v>
      </c>
      <c r="N20" s="38">
        <f t="shared" si="1"/>
        <v>55250</v>
      </c>
      <c r="O20" s="39">
        <f t="shared" si="2"/>
        <v>55250</v>
      </c>
      <c r="P20" s="40">
        <f t="shared" si="3"/>
        <v>0.15</v>
      </c>
      <c r="Q20" s="41">
        <f t="shared" si="4"/>
        <v>65000</v>
      </c>
      <c r="R20" s="30" t="s">
        <v>94</v>
      </c>
    </row>
    <row r="21" spans="1:18" ht="31.5" x14ac:dyDescent="0.3">
      <c r="A21" s="55" t="s">
        <v>122</v>
      </c>
      <c r="B21" s="55" t="s">
        <v>123</v>
      </c>
      <c r="C21" s="56">
        <v>79.989999999999995</v>
      </c>
      <c r="D21" s="55">
        <v>3</v>
      </c>
      <c r="E21" s="57">
        <v>7.0000000000000007E-2</v>
      </c>
      <c r="F21" s="55" t="s">
        <v>66</v>
      </c>
      <c r="G21" s="42">
        <v>0.15</v>
      </c>
      <c r="H21" s="55" t="s">
        <v>124</v>
      </c>
      <c r="I21" s="55" t="s">
        <v>16</v>
      </c>
      <c r="J21" s="55" t="s">
        <v>15</v>
      </c>
      <c r="K21" s="54">
        <v>45000</v>
      </c>
      <c r="L21" s="9">
        <v>0.06</v>
      </c>
      <c r="M21" s="37">
        <f t="shared" si="0"/>
        <v>2700</v>
      </c>
      <c r="N21" s="38">
        <f t="shared" si="1"/>
        <v>42300</v>
      </c>
      <c r="O21" s="39">
        <f t="shared" si="2"/>
        <v>42300</v>
      </c>
      <c r="P21" s="40">
        <f t="shared" si="3"/>
        <v>0.06</v>
      </c>
      <c r="Q21" s="41">
        <f t="shared" si="4"/>
        <v>45000</v>
      </c>
      <c r="R21" s="30" t="s">
        <v>99</v>
      </c>
    </row>
    <row r="22" spans="1:18" ht="47.25" x14ac:dyDescent="0.3">
      <c r="A22" s="55" t="s">
        <v>125</v>
      </c>
      <c r="B22" s="55" t="s">
        <v>126</v>
      </c>
      <c r="C22" s="56">
        <v>45</v>
      </c>
      <c r="D22" s="55">
        <v>4</v>
      </c>
      <c r="E22" s="57">
        <v>0.09</v>
      </c>
      <c r="F22" s="55" t="s">
        <v>71</v>
      </c>
      <c r="G22" s="42">
        <v>0.18</v>
      </c>
      <c r="H22" s="55" t="s">
        <v>127</v>
      </c>
      <c r="I22" s="55" t="s">
        <v>8</v>
      </c>
      <c r="J22" s="55" t="s">
        <v>128</v>
      </c>
      <c r="K22" s="54">
        <v>39000</v>
      </c>
      <c r="L22" s="9">
        <v>0.18</v>
      </c>
      <c r="M22" s="37">
        <f t="shared" si="0"/>
        <v>7020</v>
      </c>
      <c r="N22" s="38">
        <f t="shared" si="1"/>
        <v>31980</v>
      </c>
      <c r="O22" s="39">
        <f t="shared" si="2"/>
        <v>31980</v>
      </c>
      <c r="P22" s="40">
        <f t="shared" si="3"/>
        <v>0.18</v>
      </c>
      <c r="Q22" s="41">
        <f t="shared" si="4"/>
        <v>39000</v>
      </c>
      <c r="R22" s="30" t="s">
        <v>73</v>
      </c>
    </row>
    <row r="23" spans="1:18" ht="31.5" x14ac:dyDescent="0.3">
      <c r="A23" s="55" t="s">
        <v>129</v>
      </c>
      <c r="B23" s="55" t="s">
        <v>130</v>
      </c>
      <c r="C23" s="56">
        <v>69.900000000000006</v>
      </c>
      <c r="D23" s="55">
        <v>2</v>
      </c>
      <c r="E23" s="57">
        <v>0.1</v>
      </c>
      <c r="F23" s="55" t="s">
        <v>82</v>
      </c>
      <c r="G23" s="42">
        <v>0.11</v>
      </c>
      <c r="H23" s="55" t="s">
        <v>131</v>
      </c>
      <c r="I23" s="55" t="s">
        <v>4</v>
      </c>
      <c r="J23" s="55" t="s">
        <v>132</v>
      </c>
      <c r="K23" s="54">
        <v>31000</v>
      </c>
      <c r="L23" s="9">
        <v>0.28999999999999998</v>
      </c>
      <c r="M23" s="37">
        <f t="shared" si="0"/>
        <v>8990</v>
      </c>
      <c r="N23" s="38">
        <f t="shared" si="1"/>
        <v>22010</v>
      </c>
      <c r="O23" s="39">
        <f t="shared" si="2"/>
        <v>22010</v>
      </c>
      <c r="P23" s="40">
        <f t="shared" si="3"/>
        <v>0.28999999999999998</v>
      </c>
      <c r="Q23" s="41">
        <f t="shared" si="4"/>
        <v>31000</v>
      </c>
      <c r="R23" s="30" t="s">
        <v>73</v>
      </c>
    </row>
    <row r="24" spans="1:18" ht="31.5" x14ac:dyDescent="0.3">
      <c r="A24" s="55" t="s">
        <v>133</v>
      </c>
      <c r="B24" s="55" t="s">
        <v>134</v>
      </c>
      <c r="C24" s="56">
        <v>8.49</v>
      </c>
      <c r="D24" s="55">
        <v>6</v>
      </c>
      <c r="E24" s="57">
        <v>0.06</v>
      </c>
      <c r="F24" s="55" t="s">
        <v>56</v>
      </c>
      <c r="G24" s="42">
        <v>0.09</v>
      </c>
      <c r="H24" s="55" t="s">
        <v>135</v>
      </c>
      <c r="I24" s="55" t="s">
        <v>6</v>
      </c>
      <c r="J24" s="55" t="s">
        <v>47</v>
      </c>
      <c r="K24" s="54">
        <v>58000</v>
      </c>
      <c r="L24" s="9">
        <v>0.08</v>
      </c>
      <c r="M24" s="37">
        <f t="shared" si="0"/>
        <v>4640</v>
      </c>
      <c r="N24" s="38">
        <f t="shared" si="1"/>
        <v>53360</v>
      </c>
      <c r="O24" s="39">
        <f t="shared" si="2"/>
        <v>53360</v>
      </c>
      <c r="P24" s="40">
        <f t="shared" si="3"/>
        <v>0.08</v>
      </c>
      <c r="Q24" s="41">
        <f t="shared" si="4"/>
        <v>58000</v>
      </c>
      <c r="R24" s="30" t="s">
        <v>79</v>
      </c>
    </row>
    <row r="25" spans="1:18" ht="31.5" x14ac:dyDescent="0.3">
      <c r="A25" s="55" t="s">
        <v>136</v>
      </c>
      <c r="B25" s="55" t="s">
        <v>137</v>
      </c>
      <c r="C25" s="56">
        <v>39.99</v>
      </c>
      <c r="D25" s="55">
        <v>3</v>
      </c>
      <c r="E25" s="57">
        <v>0.08</v>
      </c>
      <c r="F25" s="55" t="s">
        <v>76</v>
      </c>
      <c r="G25" s="42">
        <v>0.13</v>
      </c>
      <c r="H25" s="55" t="s">
        <v>138</v>
      </c>
      <c r="I25" s="55" t="s">
        <v>8</v>
      </c>
      <c r="J25" s="55" t="s">
        <v>62</v>
      </c>
      <c r="K25" s="54">
        <v>25000</v>
      </c>
      <c r="L25" s="9">
        <v>0.12</v>
      </c>
      <c r="M25" s="37">
        <f t="shared" si="0"/>
        <v>3000</v>
      </c>
      <c r="N25" s="38">
        <f t="shared" si="1"/>
        <v>22000</v>
      </c>
      <c r="O25" s="39">
        <f t="shared" si="2"/>
        <v>22000</v>
      </c>
      <c r="P25" s="40">
        <f t="shared" si="3"/>
        <v>0.12</v>
      </c>
      <c r="Q25" s="41">
        <f t="shared" si="4"/>
        <v>25000</v>
      </c>
      <c r="R25" s="30" t="s">
        <v>84</v>
      </c>
    </row>
    <row r="26" spans="1:18" ht="31.5" x14ac:dyDescent="0.3">
      <c r="A26" s="55" t="s">
        <v>139</v>
      </c>
      <c r="B26" s="55" t="s">
        <v>140</v>
      </c>
      <c r="C26" s="56">
        <v>12</v>
      </c>
      <c r="D26" s="55">
        <v>4</v>
      </c>
      <c r="E26" s="57">
        <v>0.05</v>
      </c>
      <c r="F26" s="55" t="s">
        <v>102</v>
      </c>
      <c r="G26" s="42">
        <v>0.17</v>
      </c>
      <c r="H26" s="55" t="s">
        <v>141</v>
      </c>
      <c r="I26" s="55" t="s">
        <v>4</v>
      </c>
      <c r="J26" s="55" t="s">
        <v>78</v>
      </c>
      <c r="K26" s="54">
        <v>62000</v>
      </c>
      <c r="L26" s="9">
        <v>0.18</v>
      </c>
      <c r="M26" s="37">
        <f t="shared" si="0"/>
        <v>11160</v>
      </c>
      <c r="N26" s="38">
        <f t="shared" si="1"/>
        <v>50840</v>
      </c>
      <c r="O26" s="39">
        <f t="shared" si="2"/>
        <v>50840</v>
      </c>
      <c r="P26" s="40">
        <f t="shared" si="3"/>
        <v>0.18</v>
      </c>
      <c r="Q26" s="41">
        <f t="shared" si="4"/>
        <v>62000</v>
      </c>
      <c r="R26" s="30" t="s">
        <v>89</v>
      </c>
    </row>
    <row r="27" spans="1:18" ht="31.5" x14ac:dyDescent="0.3">
      <c r="A27" s="55" t="s">
        <v>142</v>
      </c>
      <c r="B27" s="55" t="s">
        <v>143</v>
      </c>
      <c r="C27" s="56">
        <v>19.95</v>
      </c>
      <c r="D27" s="55">
        <v>5</v>
      </c>
      <c r="E27" s="57">
        <v>0.04</v>
      </c>
      <c r="F27" s="55" t="s">
        <v>92</v>
      </c>
      <c r="G27" s="42">
        <v>0.16</v>
      </c>
      <c r="H27" s="55" t="s">
        <v>144</v>
      </c>
      <c r="I27" s="55" t="s">
        <v>16</v>
      </c>
      <c r="J27" s="55" t="s">
        <v>145</v>
      </c>
      <c r="K27" s="54">
        <v>38000</v>
      </c>
      <c r="L27" s="9">
        <v>0.11</v>
      </c>
      <c r="M27" s="37">
        <f t="shared" si="0"/>
        <v>4180</v>
      </c>
      <c r="N27" s="38">
        <f t="shared" si="1"/>
        <v>33820</v>
      </c>
      <c r="O27" s="39">
        <f t="shared" si="2"/>
        <v>33820</v>
      </c>
      <c r="P27" s="40">
        <f t="shared" si="3"/>
        <v>0.11</v>
      </c>
      <c r="Q27" s="41">
        <f t="shared" si="4"/>
        <v>38000</v>
      </c>
      <c r="R27" s="30" t="s">
        <v>94</v>
      </c>
    </row>
    <row r="28" spans="1:18" ht="31.5" x14ac:dyDescent="0.3">
      <c r="A28" s="55" t="s">
        <v>146</v>
      </c>
      <c r="B28" s="55" t="s">
        <v>147</v>
      </c>
      <c r="C28" s="56">
        <v>22.5</v>
      </c>
      <c r="D28" s="55">
        <v>2</v>
      </c>
      <c r="E28" s="57">
        <v>7.0000000000000007E-2</v>
      </c>
      <c r="F28" s="55" t="s">
        <v>87</v>
      </c>
      <c r="G28" s="42">
        <v>0.14000000000000001</v>
      </c>
      <c r="H28" s="55" t="s">
        <v>148</v>
      </c>
      <c r="I28" s="55" t="s">
        <v>6</v>
      </c>
      <c r="J28" s="55" t="s">
        <v>47</v>
      </c>
      <c r="K28" s="54">
        <v>27000</v>
      </c>
      <c r="L28" s="9">
        <v>0.15</v>
      </c>
      <c r="M28" s="37">
        <f t="shared" si="0"/>
        <v>4050</v>
      </c>
      <c r="N28" s="38">
        <f t="shared" si="1"/>
        <v>22950</v>
      </c>
      <c r="O28" s="39">
        <f t="shared" si="2"/>
        <v>22950</v>
      </c>
      <c r="P28" s="40">
        <f t="shared" si="3"/>
        <v>0.15</v>
      </c>
      <c r="Q28" s="41">
        <f t="shared" si="4"/>
        <v>27000</v>
      </c>
      <c r="R28" s="30" t="s">
        <v>99</v>
      </c>
    </row>
    <row r="29" spans="1:18" ht="31.5" x14ac:dyDescent="0.3">
      <c r="A29" s="55" t="s">
        <v>149</v>
      </c>
      <c r="B29" s="55" t="s">
        <v>150</v>
      </c>
      <c r="C29" s="56">
        <v>74.900000000000006</v>
      </c>
      <c r="D29" s="55">
        <v>3</v>
      </c>
      <c r="E29" s="57">
        <v>0.08</v>
      </c>
      <c r="F29" s="55" t="s">
        <v>51</v>
      </c>
      <c r="G29" s="42">
        <v>0.12</v>
      </c>
      <c r="H29" s="55" t="s">
        <v>151</v>
      </c>
      <c r="I29" s="55" t="s">
        <v>16</v>
      </c>
      <c r="J29" s="55" t="s">
        <v>15</v>
      </c>
      <c r="K29" s="54">
        <v>29000</v>
      </c>
      <c r="L29" s="9">
        <v>0.12</v>
      </c>
      <c r="M29" s="37">
        <f t="shared" si="0"/>
        <v>3480</v>
      </c>
      <c r="N29" s="38">
        <f t="shared" si="1"/>
        <v>25520</v>
      </c>
      <c r="O29" s="39">
        <f t="shared" si="2"/>
        <v>25520</v>
      </c>
      <c r="P29" s="40">
        <f t="shared" si="3"/>
        <v>0.12</v>
      </c>
      <c r="Q29" s="41">
        <f t="shared" si="4"/>
        <v>29000</v>
      </c>
      <c r="R29" s="30" t="s">
        <v>73</v>
      </c>
    </row>
    <row r="30" spans="1:18" ht="47.25" x14ac:dyDescent="0.3">
      <c r="A30" s="55" t="s">
        <v>152</v>
      </c>
      <c r="B30" s="55" t="s">
        <v>153</v>
      </c>
      <c r="C30" s="56">
        <v>15.49</v>
      </c>
      <c r="D30" s="55">
        <v>4</v>
      </c>
      <c r="E30" s="57">
        <v>0.05</v>
      </c>
      <c r="F30" s="55" t="s">
        <v>60</v>
      </c>
      <c r="G30" s="42">
        <v>0.1</v>
      </c>
      <c r="H30" s="55" t="s">
        <v>154</v>
      </c>
      <c r="I30" s="55" t="s">
        <v>6</v>
      </c>
      <c r="J30" s="55" t="s">
        <v>5</v>
      </c>
      <c r="K30" s="54">
        <v>38510</v>
      </c>
      <c r="L30" s="9">
        <v>0.09</v>
      </c>
      <c r="M30" s="37">
        <f t="shared" si="0"/>
        <v>3465.9</v>
      </c>
      <c r="N30" s="38">
        <f t="shared" si="1"/>
        <v>35044.1</v>
      </c>
      <c r="O30" s="39">
        <f>IF(J30="BikeRacks",(N30-N30*20%),N30)</f>
        <v>28035.279999999999</v>
      </c>
      <c r="P30" s="40">
        <f t="shared" si="3"/>
        <v>0.09</v>
      </c>
      <c r="Q30" s="41">
        <f t="shared" si="4"/>
        <v>38510</v>
      </c>
      <c r="R30" s="30" t="s">
        <v>73</v>
      </c>
    </row>
  </sheetData>
  <conditionalFormatting sqref="G2:G30">
    <cfRule type="expression" dxfId="10" priority="14">
      <formula>$B2=1</formula>
    </cfRule>
    <cfRule type="expression" dxfId="9" priority="15">
      <formula>#REF!="yes"</formula>
    </cfRule>
  </conditionalFormatting>
  <conditionalFormatting sqref="J1">
    <cfRule type="duplicateValues" dxfId="8" priority="13"/>
  </conditionalFormatting>
  <conditionalFormatting sqref="K1">
    <cfRule type="top10" dxfId="7" priority="12" percent="1" rank="5"/>
  </conditionalFormatting>
  <conditionalFormatting sqref="K2:K30">
    <cfRule type="top10" dxfId="6" priority="4" rank="3"/>
    <cfRule type="top10" dxfId="5" priority="8" rank="3"/>
    <cfRule type="iconSet" priority="10">
      <iconSet iconSet="3Arrows">
        <cfvo type="percent" val="0"/>
        <cfvo type="num" val="35000"/>
        <cfvo type="num" val="78000"/>
      </iconSet>
    </cfRule>
    <cfRule type="top10" dxfId="4" priority="11" rank="2"/>
  </conditionalFormatting>
  <conditionalFormatting sqref="M2:M30">
    <cfRule type="top10" dxfId="3" priority="5" bottom="1" rank="2"/>
    <cfRule type="iconSet" priority="6">
      <iconSet iconSet="3Arrows">
        <cfvo type="percent" val="0"/>
        <cfvo type="num" val="1200"/>
        <cfvo type="num" val="3000"/>
      </iconSet>
    </cfRule>
    <cfRule type="top10" dxfId="2" priority="7" rank="3"/>
    <cfRule type="top10" dxfId="1" priority="9" rank="3"/>
  </conditionalFormatting>
  <conditionalFormatting sqref="N2:N30">
    <cfRule type="iconSet" priority="3">
      <iconSet iconSet="3Arrows">
        <cfvo type="percent" val="0"/>
        <cfvo type="num" val="14000"/>
        <cfvo type="num" val="34000"/>
      </iconSet>
    </cfRule>
  </conditionalFormatting>
  <conditionalFormatting sqref="O2:O30">
    <cfRule type="expression" dxfId="0" priority="2">
      <formula>IF(EXACT($W19,"BikeRacks"),TRUE,FALSE)</formula>
    </cfRule>
  </conditionalFormatting>
  <conditionalFormatting sqref="P2:P30">
    <cfRule type="iconSet" priority="1">
      <iconSet iconSet="3Arrows">
        <cfvo type="percent" val="0"/>
        <cfvo type="percent" val="9"/>
        <cfvo type="percent" val="12" gte="0"/>
      </iconSet>
    </cfRule>
  </conditionalFormatting>
  <dataValidations count="1">
    <dataValidation type="list" allowBlank="1" showInputMessage="1" showErrorMessage="1" sqref="A2:A30" xr:uid="{D1502877-E971-4851-A3E6-D0A76618A4CA}">
      <formula1>$A$1:$A$30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 Gupta</dc:creator>
  <cp:lastModifiedBy>Sandipan Gupta</cp:lastModifiedBy>
  <dcterms:created xsi:type="dcterms:W3CDTF">2025-03-27T12:19:52Z</dcterms:created>
  <dcterms:modified xsi:type="dcterms:W3CDTF">2026-07-17T06:16:00Z</dcterms:modified>
</cp:coreProperties>
</file>